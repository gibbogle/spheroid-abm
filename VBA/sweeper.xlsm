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18060" windowHeight="12420"/>
  </bookViews>
  <sheets>
    <sheet name="Start" sheetId="2" r:id="rId1"/>
    <sheet name="Input" sheetId="1" r:id="rId2"/>
    <sheet name="Treatment" sheetId="4" r:id="rId3"/>
    <sheet name="Test" sheetId="3" r:id="rId4"/>
  </sheets>
  <functionGroups builtInGroupCount="17"/>
  <calcPr calcId="145621"/>
</workbook>
</file>

<file path=xl/calcChain.xml><?xml version="1.0" encoding="utf-8"?>
<calcChain xmlns="http://schemas.openxmlformats.org/spreadsheetml/2006/main">
  <c r="E106" i="1" l="1"/>
  <c r="E105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</calcChain>
</file>

<file path=xl/sharedStrings.xml><?xml version="1.0" encoding="utf-8"?>
<sst xmlns="http://schemas.openxmlformats.org/spreadsheetml/2006/main" count="342" uniqueCount="199">
  <si>
    <t>Base path</t>
  </si>
  <si>
    <t>Base run name</t>
  </si>
  <si>
    <t>Parameter tag</t>
  </si>
  <si>
    <t>Minimum</t>
  </si>
  <si>
    <t>Maximum</t>
  </si>
  <si>
    <t>#</t>
  </si>
  <si>
    <t>Description</t>
  </si>
  <si>
    <t>NX</t>
  </si>
  <si>
    <t>INITIAL_COUNT</t>
  </si>
  <si>
    <t>Initial number of tumour cells</t>
  </si>
  <si>
    <t>DIVIDE_TIME_MEDIAN</t>
  </si>
  <si>
    <t>Division time median parameter</t>
  </si>
  <si>
    <t>DIVIDE_TIME_SHAPE</t>
  </si>
  <si>
    <t>Division time shape parameter</t>
  </si>
  <si>
    <t>V_DEPENDENT_GROWTH_RATE</t>
  </si>
  <si>
    <t>V-dependent growth rate</t>
  </si>
  <si>
    <t>RANDOMISE_INITIAL_V</t>
  </si>
  <si>
    <t>Randomise initial cell volumes</t>
  </si>
  <si>
    <t>NDAYS</t>
  </si>
  <si>
    <t>DELTA_T</t>
  </si>
  <si>
    <t>Time step</t>
  </si>
  <si>
    <t>NT_CONC</t>
  </si>
  <si>
    <t>Number of ODE solver sub-steps.</t>
  </si>
  <si>
    <t>NMM3</t>
  </si>
  <si>
    <t>Cells/cubic mm</t>
  </si>
  <si>
    <t>FLUID_FRACTION</t>
  </si>
  <si>
    <t>Fluid fraction</t>
  </si>
  <si>
    <t>MEDIUM_VOLUME</t>
  </si>
  <si>
    <t>Medium volume</t>
  </si>
  <si>
    <t>UNSTIRRED_LAYER</t>
  </si>
  <si>
    <t>Unstirred layer width</t>
  </si>
  <si>
    <t>VDIVIDE0</t>
  </si>
  <si>
    <t>Nominal divide volume</t>
  </si>
  <si>
    <t>DVDIVIDE</t>
  </si>
  <si>
    <t>Divide volume variation</t>
  </si>
  <si>
    <t>MM_THRESHOLD</t>
  </si>
  <si>
    <t>Michaelis-Menten O2 threshold</t>
  </si>
  <si>
    <t>ANOXIA_THRESHOLD</t>
  </si>
  <si>
    <t>Anoxia threshold</t>
  </si>
  <si>
    <t>ANOXIA_TAG_TIME</t>
  </si>
  <si>
    <t>Anoxic time limit</t>
  </si>
  <si>
    <t>ANOXIA_DEATH_TIME</t>
  </si>
  <si>
    <t>Anoxic death delay time</t>
  </si>
  <si>
    <t>TEST_CASE</t>
  </si>
  <si>
    <t>Test case #</t>
  </si>
  <si>
    <t>SEED1</t>
  </si>
  <si>
    <t>First RNG seed</t>
  </si>
  <si>
    <t>SEED2</t>
  </si>
  <si>
    <t>Second RNG seed</t>
  </si>
  <si>
    <t>NCPU</t>
  </si>
  <si>
    <t>Number of CPUs</t>
  </si>
  <si>
    <t>NCELLTYPES</t>
  </si>
  <si>
    <t>Number of cell types</t>
  </si>
  <si>
    <t>CELLPERCENT_1</t>
  </si>
  <si>
    <t>Percentage of cell type 1</t>
  </si>
  <si>
    <t>CELLPERCENT_2</t>
  </si>
  <si>
    <t>Percentage of cell type 2</t>
  </si>
  <si>
    <t>NT_ANIMATION</t>
  </si>
  <si>
    <t>Animation interval (timesteps)</t>
  </si>
  <si>
    <t>SHOW_PROGENY</t>
  </si>
  <si>
    <t>Show descendents of cell #</t>
  </si>
  <si>
    <t>USE_OXYGEN</t>
  </si>
  <si>
    <t>Use Oxygen?</t>
  </si>
  <si>
    <t>OXYGEN_DIFF_COEF</t>
  </si>
  <si>
    <t>Spheroid diffusion coeff</t>
  </si>
  <si>
    <t>OXYGEN_MEDIUM_DIFF</t>
  </si>
  <si>
    <t>Medium diffusion coeff</t>
  </si>
  <si>
    <t>OXYGEN_CELL_DIFF</t>
  </si>
  <si>
    <t>Membrane diff constant</t>
  </si>
  <si>
    <t>OXYGEN_BDRY_CONC</t>
  </si>
  <si>
    <t>Boundary concentration</t>
  </si>
  <si>
    <t>OXYGEN_CONSUMPTION</t>
  </si>
  <si>
    <t>Max consumption rate</t>
  </si>
  <si>
    <t>OXYGEN_MM_KM</t>
  </si>
  <si>
    <t>Michaelis-Menten Km</t>
  </si>
  <si>
    <t>OXYGEN_HILL_N</t>
  </si>
  <si>
    <t>Hill function N</t>
  </si>
  <si>
    <t>USE_GLUCOSE</t>
  </si>
  <si>
    <t>Use Glucose?</t>
  </si>
  <si>
    <t>GLUCOSE_DIFF_COEF</t>
  </si>
  <si>
    <t>GLUCOSE_MEDIUM_DIFF</t>
  </si>
  <si>
    <t>GLUCOSE_CELL_DIFF</t>
  </si>
  <si>
    <t>GLUCOSE_BDRY_CONC</t>
  </si>
  <si>
    <t>GLUCOSE_CONSUMPTION</t>
  </si>
  <si>
    <t>GLUCOSE_MM_KM</t>
  </si>
  <si>
    <t>GLUCOSE_HILL_N</t>
  </si>
  <si>
    <t>USE_TRACER</t>
  </si>
  <si>
    <t>Use Tracer?</t>
  </si>
  <si>
    <t>TRACER_DIFF_COEF</t>
  </si>
  <si>
    <t>TRACER_MEDIUM_DIFF</t>
  </si>
  <si>
    <t>TRACER_CELL_DIFF</t>
  </si>
  <si>
    <t>TRACER_BDRY_CONC</t>
  </si>
  <si>
    <t>TRACER_CONSUMPTION</t>
  </si>
  <si>
    <t>Consumption rate</t>
  </si>
  <si>
    <t>TRACER_MM_KM</t>
  </si>
  <si>
    <t>TRACER_HILL_N</t>
  </si>
  <si>
    <t>USE_DRUG_A</t>
  </si>
  <si>
    <t>Use SN30000?</t>
  </si>
  <si>
    <t>DRUG_A_NAME</t>
  </si>
  <si>
    <t>SN30000</t>
  </si>
  <si>
    <t>DRUG_A_BDRY_CONC</t>
  </si>
  <si>
    <t>DRUG_A_DECAY</t>
  </si>
  <si>
    <t>Decaying</t>
  </si>
  <si>
    <t>DRUG_A_SIMULATE_METABOLITE</t>
  </si>
  <si>
    <t>Simulate metabolite</t>
  </si>
  <si>
    <t>DRUG_A_METABOLITE_DECAY</t>
  </si>
  <si>
    <t>Metabolite decaying</t>
  </si>
  <si>
    <t>SN30K_DIFF_COEF</t>
  </si>
  <si>
    <t>SN30K_MEDIUM_DIFF</t>
  </si>
  <si>
    <t>SN30K_CELL_DIFF</t>
  </si>
  <si>
    <t>SN30K_HALFLIFE</t>
  </si>
  <si>
    <t>Half-life</t>
  </si>
  <si>
    <t>SN30K_METABOLITE_HALFLIFE</t>
  </si>
  <si>
    <t>Metabolite half-life</t>
  </si>
  <si>
    <t>SN30K_KMET0_1</t>
  </si>
  <si>
    <t>Kmet0</t>
  </si>
  <si>
    <t>SN30K_C1_1</t>
  </si>
  <si>
    <t>C1</t>
  </si>
  <si>
    <t>SN30K_C2_1</t>
  </si>
  <si>
    <t>C2</t>
  </si>
  <si>
    <t>SN30K_KO2_1</t>
  </si>
  <si>
    <t>KO2</t>
  </si>
  <si>
    <t>SN30K_GAMMA_1</t>
  </si>
  <si>
    <t>gamma</t>
  </si>
  <si>
    <t>SN30K_KLESION_1</t>
  </si>
  <si>
    <t>Klesion</t>
  </si>
  <si>
    <t>SN30K_KILL_MODEL_1</t>
  </si>
  <si>
    <t>Kill model</t>
  </si>
  <si>
    <t>SN30K_KILL_O2_CONC_1</t>
  </si>
  <si>
    <t>O2 conc</t>
  </si>
  <si>
    <t>SN30K_KILL_DRUG_CONC_1</t>
  </si>
  <si>
    <t>Drug conc</t>
  </si>
  <si>
    <t>SN30K_KILL_DURATION_1</t>
  </si>
  <si>
    <t>Duration</t>
  </si>
  <si>
    <t>SN30K_KILL_FRACTION_1</t>
  </si>
  <si>
    <t>Kill fraction</t>
  </si>
  <si>
    <t>SN30K_KMET0_2</t>
  </si>
  <si>
    <t>SN30K_C1_2</t>
  </si>
  <si>
    <t>SN30K_C2_2</t>
  </si>
  <si>
    <t>SN30K_KO2_2</t>
  </si>
  <si>
    <t>SN30K_GAMMA_2</t>
  </si>
  <si>
    <t>SN30K_KLESION_2</t>
  </si>
  <si>
    <t>SN30K_KILL_MODEL_2</t>
  </si>
  <si>
    <t>SN30K_KILL_O2_CONC_2</t>
  </si>
  <si>
    <t>SN30K_KILL_DRUG_CONC_2</t>
  </si>
  <si>
    <t>SN30K_KILL_DURATION_2</t>
  </si>
  <si>
    <t>SN30K_KILL_FRACTION_2</t>
  </si>
  <si>
    <t>USE_DRUG_B</t>
  </si>
  <si>
    <t>Use Drug B?</t>
  </si>
  <si>
    <t>DRUG_B_NAME</t>
  </si>
  <si>
    <t>DRUG_B</t>
  </si>
  <si>
    <t>DRUG_B_BDRY_CONC</t>
  </si>
  <si>
    <t>DRUG_B boundary concentration</t>
  </si>
  <si>
    <t>DRUG_B_DECAY</t>
  </si>
  <si>
    <t>DRUG_B decay</t>
  </si>
  <si>
    <t>DRUG_B_SIMULATE_METABOLITE</t>
  </si>
  <si>
    <t>DRUG_B metabolite</t>
  </si>
  <si>
    <t>DRUG_B_METABOLITE_DECAY</t>
  </si>
  <si>
    <t>Drug B metabolite decay</t>
  </si>
  <si>
    <t>HYPOXIA_1</t>
  </si>
  <si>
    <t>Hypoxia threshold 1</t>
  </si>
  <si>
    <t>HYPOXIA_2</t>
  </si>
  <si>
    <t>Hypoxia threshold 2</t>
  </si>
  <si>
    <t>HYPOXIA_3</t>
  </si>
  <si>
    <t>Hypoxia threshold 3</t>
  </si>
  <si>
    <t>GROWTH_FRACTION_1</t>
  </si>
  <si>
    <t>Growth fraction threshold 1</t>
  </si>
  <si>
    <t>GROWTH_FRACTION_2</t>
  </si>
  <si>
    <t>Growth fraction threshold 2</t>
  </si>
  <si>
    <t>GROWTH_FRACTION_3</t>
  </si>
  <si>
    <t>Growth fraction threshold 3</t>
  </si>
  <si>
    <t>SPCRAD</t>
  </si>
  <si>
    <t>Spectral radius</t>
  </si>
  <si>
    <t>USE_EXTRA</t>
  </si>
  <si>
    <t>Use extra conc</t>
  </si>
  <si>
    <t>USE_RELAX</t>
  </si>
  <si>
    <t>Use O2 relaxation solver</t>
  </si>
  <si>
    <t>USE_PAR_RELAX</t>
  </si>
  <si>
    <t>Use parallel O2 relaxation solver</t>
  </si>
  <si>
    <t>USE_TREATMENT_FILE</t>
  </si>
  <si>
    <t>Use treatment file?</t>
  </si>
  <si>
    <t>TREATMENT_FILE</t>
  </si>
  <si>
    <t>treatment.data</t>
  </si>
  <si>
    <t>DUMMY_HYPOXIA_THRESHOLD</t>
  </si>
  <si>
    <t>Hypoxia threshold</t>
  </si>
  <si>
    <t>DUMMY_GROWTH_FRACTION</t>
  </si>
  <si>
    <t>Growth fraction</t>
  </si>
  <si>
    <t>Lattice size</t>
  </si>
  <si>
    <t>Number of days</t>
  </si>
  <si>
    <t>Delta</t>
  </si>
  <si>
    <t>DRUG_A</t>
  </si>
  <si>
    <t>RADIATION</t>
  </si>
  <si>
    <t>End (h)</t>
  </si>
  <si>
    <t>Start (h)</t>
  </si>
  <si>
    <t>Conc</t>
  </si>
  <si>
    <t>Dose</t>
  </si>
  <si>
    <t>NEWDRUG</t>
  </si>
  <si>
    <t>sim</t>
  </si>
  <si>
    <t>e:\testing\vba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</si>
</sst>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9525</xdr:rowOff>
        </xdr:from>
        <xdr:to>
          <xdr:col>4</xdr:col>
          <xdr:colOff>0</xdr:colOff>
          <xdr:row>6</xdr:row>
          <xdr:rowOff>57150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180975</xdr:rowOff>
        </xdr:from>
        <xdr:to>
          <xdr:col>7</xdr:col>
          <xdr:colOff>66675</xdr:colOff>
          <xdr:row>4</xdr:row>
          <xdr:rowOff>38100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treatment Genertreatment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0</xdr:rowOff>
        </xdr:from>
        <xdr:to>
          <xdr:col>7</xdr:col>
          <xdr:colOff>38100</xdr:colOff>
          <xdr:row>2</xdr:row>
          <xdr:rowOff>47625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Setup treatment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B3"/>
  <sheetViews>
    <sheetView tabSelected="1" workbookViewId="0">
      <selection activeCell="B6" sqref="B6"/>
    </sheetView>
  </sheetViews>
  <sheetFormatPr defaultRowHeight="15" x14ac:dyDescent="0.25"/>
  <cols>
    <col min="1" max="1" width="19.42578125" customWidth="1"/>
    <col min="2" max="2" width="27.7109375" customWidth="1"/>
  </cols>
  <sheetData>
    <row r="2" spans="1:2" x14ac:dyDescent="0.25">
      <c r="A2" t="s">
        <v>0</v>
      </c>
      <c r="B2" t="s">
        <v>198</v>
      </c>
    </row>
    <row r="3" spans="1:2" x14ac:dyDescent="0.25">
      <c r="A3" t="s">
        <v>1</v>
      </c>
      <c r="B3" t="s">
        <v>197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weeper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or">
                <anchor moveWithCells="1">
                  <from>
                    <xdr:col>3</xdr:col>
                    <xdr:colOff>9525</xdr:colOff>
                    <xdr:row>3</xdr:row>
                    <xdr:rowOff>9525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ubmit">
                <anchor moveWithCells="1">
                  <from>
                    <xdr:col>3</xdr:col>
                    <xdr:colOff>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treatment_generator">
                <anchor moveWithCells="1">
                  <from>
                    <xdr:col>5</xdr:col>
                    <xdr:colOff>0</xdr:colOff>
                    <xdr:row>2</xdr:row>
                    <xdr:rowOff>180975</xdr:rowOff>
                  </from>
                  <to>
                    <xdr:col>7</xdr:col>
                    <xdr:colOff>66675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loadTreatment">
                <anchor moveWithCells="1">
                  <from>
                    <xdr:col>5</xdr:col>
                    <xdr:colOff>19050</xdr:colOff>
                    <xdr:row>1</xdr:row>
                    <xdr:rowOff>0</xdr:rowOff>
                  </from>
                  <to>
                    <xdr:col>7</xdr:col>
                    <xdr:colOff>38100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06"/>
  <sheetViews>
    <sheetView workbookViewId="0">
      <selection activeCell="B8" sqref="B8"/>
    </sheetView>
  </sheetViews>
  <sheetFormatPr defaultRowHeight="15" x14ac:dyDescent="0.25"/>
  <cols>
    <col min="1" max="1" width="31.85546875" customWidth="1"/>
    <col min="2" max="2" width="16.7109375" customWidth="1"/>
    <col min="3" max="4" width="6.7109375" customWidth="1"/>
    <col min="5" max="5" width="16.7109375" customWidth="1"/>
    <col min="6" max="6" width="33.7109375" customWidth="1"/>
  </cols>
  <sheetData>
    <row r="1" spans="1:6" s="1" customFormat="1" x14ac:dyDescent="0.25">
      <c r="A1" s="1" t="s">
        <v>2</v>
      </c>
      <c r="B1" s="1" t="s">
        <v>3</v>
      </c>
      <c r="C1" s="1" t="s">
        <v>189</v>
      </c>
      <c r="D1" s="1" t="s">
        <v>5</v>
      </c>
      <c r="E1" s="1" t="s">
        <v>4</v>
      </c>
      <c r="F1" s="1" t="s">
        <v>6</v>
      </c>
    </row>
    <row r="2" spans="1:6" x14ac:dyDescent="0.25">
      <c r="A2" t="s">
        <v>7</v>
      </c>
      <c r="B2">
        <v>100</v>
      </c>
      <c r="C2">
        <v>0</v>
      </c>
      <c r="D2">
        <v>1</v>
      </c>
      <c r="E2">
        <f>B2+(D2-1)*C2</f>
        <v>100</v>
      </c>
      <c r="F2" t="s">
        <v>187</v>
      </c>
    </row>
    <row r="3" spans="1:6" x14ac:dyDescent="0.25">
      <c r="A3" t="s">
        <v>8</v>
      </c>
      <c r="B3">
        <v>1000</v>
      </c>
      <c r="C3">
        <v>0</v>
      </c>
      <c r="D3">
        <v>1</v>
      </c>
      <c r="E3">
        <f>B3+(D3-1)*C3</f>
        <v>1000</v>
      </c>
      <c r="F3" t="s">
        <v>9</v>
      </c>
    </row>
    <row r="4" spans="1:6" x14ac:dyDescent="0.25">
      <c r="A4" t="s">
        <v>10</v>
      </c>
      <c r="B4">
        <v>24</v>
      </c>
      <c r="C4">
        <v>0</v>
      </c>
      <c r="D4">
        <v>1</v>
      </c>
      <c r="E4">
        <f>B4+(D4-1)*C4</f>
        <v>24</v>
      </c>
      <c r="F4" t="s">
        <v>11</v>
      </c>
    </row>
    <row r="5" spans="1:6" x14ac:dyDescent="0.25">
      <c r="A5" t="s">
        <v>12</v>
      </c>
      <c r="B5">
        <v>1.2</v>
      </c>
      <c r="C5">
        <v>0</v>
      </c>
      <c r="D5">
        <v>1</v>
      </c>
      <c r="E5">
        <f>B5+(D5-1)*C5</f>
        <v>1.2</v>
      </c>
      <c r="F5" t="s">
        <v>13</v>
      </c>
    </row>
    <row r="6" spans="1:6" x14ac:dyDescent="0.25">
      <c r="A6" t="s">
        <v>14</v>
      </c>
      <c r="B6">
        <v>0</v>
      </c>
      <c r="C6">
        <v>0</v>
      </c>
      <c r="D6">
        <v>1</v>
      </c>
      <c r="E6">
        <f>B6+(D6-1)*C6</f>
        <v>0</v>
      </c>
      <c r="F6" t="s">
        <v>15</v>
      </c>
    </row>
    <row r="7" spans="1:6" x14ac:dyDescent="0.25">
      <c r="A7" t="s">
        <v>16</v>
      </c>
      <c r="B7">
        <v>1</v>
      </c>
      <c r="C7">
        <v>0</v>
      </c>
      <c r="D7">
        <v>1</v>
      </c>
      <c r="E7">
        <f>B7+(D7-1)*C7</f>
        <v>1</v>
      </c>
      <c r="F7" t="s">
        <v>17</v>
      </c>
    </row>
    <row r="8" spans="1:6" x14ac:dyDescent="0.25">
      <c r="A8" t="s">
        <v>18</v>
      </c>
      <c r="B8">
        <v>1</v>
      </c>
      <c r="C8">
        <v>0</v>
      </c>
      <c r="D8">
        <v>1</v>
      </c>
      <c r="E8">
        <f>B8+(D8-1)*C8</f>
        <v>1</v>
      </c>
      <c r="F8" t="s">
        <v>188</v>
      </c>
    </row>
    <row r="9" spans="1:6" x14ac:dyDescent="0.25">
      <c r="A9" t="s">
        <v>19</v>
      </c>
      <c r="B9">
        <v>600</v>
      </c>
      <c r="C9">
        <v>0</v>
      </c>
      <c r="D9">
        <v>1</v>
      </c>
      <c r="E9">
        <f>B9+(D9-1)*C9</f>
        <v>600</v>
      </c>
      <c r="F9" t="s">
        <v>20</v>
      </c>
    </row>
    <row r="10" spans="1:6" x14ac:dyDescent="0.25">
      <c r="A10" t="s">
        <v>21</v>
      </c>
      <c r="B10">
        <v>1</v>
      </c>
      <c r="C10">
        <v>0</v>
      </c>
      <c r="D10">
        <v>1</v>
      </c>
      <c r="E10">
        <f>B10+(D10-1)*C10</f>
        <v>1</v>
      </c>
      <c r="F10" t="s">
        <v>22</v>
      </c>
    </row>
    <row r="11" spans="1:6" x14ac:dyDescent="0.25">
      <c r="A11" t="s">
        <v>23</v>
      </c>
      <c r="B11">
        <v>500000</v>
      </c>
      <c r="C11">
        <v>0</v>
      </c>
      <c r="D11">
        <v>1</v>
      </c>
      <c r="E11">
        <f>B11+(D11-1)*C11</f>
        <v>500000</v>
      </c>
      <c r="F11" t="s">
        <v>24</v>
      </c>
    </row>
    <row r="12" spans="1:6" x14ac:dyDescent="0.25">
      <c r="A12" t="s">
        <v>25</v>
      </c>
      <c r="B12">
        <v>0.5</v>
      </c>
      <c r="C12">
        <v>0</v>
      </c>
      <c r="D12">
        <v>1</v>
      </c>
      <c r="E12">
        <f>B12+(D12-1)*C12</f>
        <v>0.5</v>
      </c>
      <c r="F12" t="s">
        <v>26</v>
      </c>
    </row>
    <row r="13" spans="1:6" x14ac:dyDescent="0.25">
      <c r="A13" t="s">
        <v>27</v>
      </c>
      <c r="B13">
        <v>1</v>
      </c>
      <c r="C13">
        <v>0</v>
      </c>
      <c r="D13">
        <v>1</v>
      </c>
      <c r="E13">
        <f>B13+(D13-1)*C13</f>
        <v>1</v>
      </c>
      <c r="F13" t="s">
        <v>28</v>
      </c>
    </row>
    <row r="14" spans="1:6" x14ac:dyDescent="0.25">
      <c r="A14" t="s">
        <v>29</v>
      </c>
      <c r="B14">
        <v>0.01</v>
      </c>
      <c r="C14">
        <v>0</v>
      </c>
      <c r="D14">
        <v>1</v>
      </c>
      <c r="E14">
        <f>B14+(D14-1)*C14</f>
        <v>0.01</v>
      </c>
      <c r="F14" t="s">
        <v>30</v>
      </c>
    </row>
    <row r="15" spans="1:6" x14ac:dyDescent="0.25">
      <c r="A15" t="s">
        <v>31</v>
      </c>
      <c r="B15">
        <v>1.6</v>
      </c>
      <c r="C15">
        <v>0</v>
      </c>
      <c r="D15">
        <v>1</v>
      </c>
      <c r="E15">
        <f>B15+(D15-1)*C15</f>
        <v>1.6</v>
      </c>
      <c r="F15" t="s">
        <v>32</v>
      </c>
    </row>
    <row r="16" spans="1:6" x14ac:dyDescent="0.25">
      <c r="A16" t="s">
        <v>33</v>
      </c>
      <c r="B16">
        <v>0.05</v>
      </c>
      <c r="C16">
        <v>0</v>
      </c>
      <c r="D16">
        <v>1</v>
      </c>
      <c r="E16">
        <f>B16+(D16-1)*C16</f>
        <v>0.05</v>
      </c>
      <c r="F16" t="s">
        <v>34</v>
      </c>
    </row>
    <row r="17" spans="1:6" x14ac:dyDescent="0.25">
      <c r="A17" t="s">
        <v>35</v>
      </c>
      <c r="B17">
        <v>0.1</v>
      </c>
      <c r="C17">
        <v>0</v>
      </c>
      <c r="D17">
        <v>1</v>
      </c>
      <c r="E17">
        <f>B17+(D17-1)*C17</f>
        <v>0.1</v>
      </c>
      <c r="F17" t="s">
        <v>36</v>
      </c>
    </row>
    <row r="18" spans="1:6" x14ac:dyDescent="0.25">
      <c r="A18" t="s">
        <v>37</v>
      </c>
      <c r="B18">
        <v>0.15</v>
      </c>
      <c r="C18">
        <v>0</v>
      </c>
      <c r="D18">
        <v>1</v>
      </c>
      <c r="E18">
        <f>B18+(D18-1)*C18</f>
        <v>0.15</v>
      </c>
      <c r="F18" t="s">
        <v>38</v>
      </c>
    </row>
    <row r="19" spans="1:6" x14ac:dyDescent="0.25">
      <c r="A19" t="s">
        <v>39</v>
      </c>
      <c r="B19">
        <v>3</v>
      </c>
      <c r="C19">
        <v>0</v>
      </c>
      <c r="D19">
        <v>1</v>
      </c>
      <c r="E19">
        <f>B19+(D19-1)*C19</f>
        <v>3</v>
      </c>
      <c r="F19" t="s">
        <v>40</v>
      </c>
    </row>
    <row r="20" spans="1:6" x14ac:dyDescent="0.25">
      <c r="A20" t="s">
        <v>41</v>
      </c>
      <c r="B20">
        <v>3</v>
      </c>
      <c r="C20">
        <v>0</v>
      </c>
      <c r="D20">
        <v>1</v>
      </c>
      <c r="E20">
        <f>B20+(D20-1)*C20</f>
        <v>3</v>
      </c>
      <c r="F20" t="s">
        <v>42</v>
      </c>
    </row>
    <row r="21" spans="1:6" x14ac:dyDescent="0.25">
      <c r="A21" t="s">
        <v>43</v>
      </c>
      <c r="B21">
        <v>0</v>
      </c>
      <c r="C21">
        <v>0</v>
      </c>
      <c r="D21">
        <v>1</v>
      </c>
      <c r="E21">
        <f>B21+(D21-1)*C21</f>
        <v>0</v>
      </c>
      <c r="F21" t="s">
        <v>44</v>
      </c>
    </row>
    <row r="22" spans="1:6" x14ac:dyDescent="0.25">
      <c r="A22" t="s">
        <v>45</v>
      </c>
      <c r="B22">
        <v>1234</v>
      </c>
      <c r="C22">
        <v>0</v>
      </c>
      <c r="D22">
        <v>1</v>
      </c>
      <c r="E22">
        <f>B22+(D22-1)*C22</f>
        <v>1234</v>
      </c>
      <c r="F22" t="s">
        <v>46</v>
      </c>
    </row>
    <row r="23" spans="1:6" x14ac:dyDescent="0.25">
      <c r="A23" t="s">
        <v>47</v>
      </c>
      <c r="B23">
        <v>5678</v>
      </c>
      <c r="C23">
        <v>0</v>
      </c>
      <c r="D23">
        <v>1</v>
      </c>
      <c r="E23">
        <f>B23+(D23-1)*C23</f>
        <v>5678</v>
      </c>
      <c r="F23" t="s">
        <v>48</v>
      </c>
    </row>
    <row r="24" spans="1:6" x14ac:dyDescent="0.25">
      <c r="A24" t="s">
        <v>49</v>
      </c>
      <c r="B24">
        <v>4</v>
      </c>
      <c r="C24">
        <v>0</v>
      </c>
      <c r="D24">
        <v>1</v>
      </c>
      <c r="E24">
        <f>B24+(D24-1)*C24</f>
        <v>4</v>
      </c>
      <c r="F24" t="s">
        <v>50</v>
      </c>
    </row>
    <row r="25" spans="1:6" x14ac:dyDescent="0.25">
      <c r="A25" t="s">
        <v>51</v>
      </c>
      <c r="B25">
        <v>2</v>
      </c>
      <c r="C25">
        <v>0</v>
      </c>
      <c r="D25">
        <v>1</v>
      </c>
      <c r="E25">
        <f>B25+(D25-1)*C25</f>
        <v>2</v>
      </c>
      <c r="F25" t="s">
        <v>52</v>
      </c>
    </row>
    <row r="26" spans="1:6" x14ac:dyDescent="0.25">
      <c r="A26" t="s">
        <v>53</v>
      </c>
      <c r="B26">
        <v>100</v>
      </c>
      <c r="C26">
        <v>0</v>
      </c>
      <c r="D26">
        <v>1</v>
      </c>
      <c r="E26">
        <f>B26+(D26-1)*C26</f>
        <v>100</v>
      </c>
      <c r="F26" t="s">
        <v>54</v>
      </c>
    </row>
    <row r="27" spans="1:6" x14ac:dyDescent="0.25">
      <c r="A27" t="s">
        <v>55</v>
      </c>
      <c r="B27">
        <v>0</v>
      </c>
      <c r="C27">
        <v>0</v>
      </c>
      <c r="D27">
        <v>1</v>
      </c>
      <c r="E27">
        <f>B27+(D27-1)*C27</f>
        <v>0</v>
      </c>
      <c r="F27" t="s">
        <v>56</v>
      </c>
    </row>
    <row r="28" spans="1:6" x14ac:dyDescent="0.25">
      <c r="A28" t="s">
        <v>57</v>
      </c>
      <c r="B28">
        <v>1</v>
      </c>
      <c r="C28">
        <v>0</v>
      </c>
      <c r="D28">
        <v>1</v>
      </c>
      <c r="E28">
        <f>B28+(D28-1)*C28</f>
        <v>1</v>
      </c>
      <c r="F28" t="s">
        <v>58</v>
      </c>
    </row>
    <row r="29" spans="1:6" x14ac:dyDescent="0.25">
      <c r="A29" t="s">
        <v>59</v>
      </c>
      <c r="B29">
        <v>0</v>
      </c>
      <c r="C29">
        <v>0</v>
      </c>
      <c r="D29">
        <v>1</v>
      </c>
      <c r="E29">
        <f>B29+(D29-1)*C29</f>
        <v>0</v>
      </c>
      <c r="F29" t="s">
        <v>60</v>
      </c>
    </row>
    <row r="30" spans="1:6" x14ac:dyDescent="0.25">
      <c r="A30" t="s">
        <v>61</v>
      </c>
      <c r="B30">
        <v>1</v>
      </c>
      <c r="C30">
        <v>0</v>
      </c>
      <c r="D30">
        <v>1</v>
      </c>
      <c r="E30">
        <f>B30+(D30-1)*C30</f>
        <v>1</v>
      </c>
      <c r="F30" t="s">
        <v>62</v>
      </c>
    </row>
    <row r="31" spans="1:6" x14ac:dyDescent="0.25">
      <c r="A31" t="s">
        <v>63</v>
      </c>
      <c r="B31" s="2">
        <v>2.0000000000000002E-5</v>
      </c>
      <c r="C31">
        <v>0</v>
      </c>
      <c r="D31">
        <v>1</v>
      </c>
      <c r="E31">
        <f>B31+(D31-1)*C31</f>
        <v>2.0000000000000002E-5</v>
      </c>
      <c r="F31" t="s">
        <v>64</v>
      </c>
    </row>
    <row r="32" spans="1:6" x14ac:dyDescent="0.25">
      <c r="A32" t="s">
        <v>65</v>
      </c>
      <c r="B32" s="2">
        <v>2.5000000000000001E-5</v>
      </c>
      <c r="C32">
        <v>0</v>
      </c>
      <c r="D32">
        <v>1</v>
      </c>
      <c r="E32">
        <f>B32+(D32-1)*C32</f>
        <v>2.5000000000000001E-5</v>
      </c>
      <c r="F32" t="s">
        <v>66</v>
      </c>
    </row>
    <row r="33" spans="1:6" x14ac:dyDescent="0.25">
      <c r="A33" t="s">
        <v>67</v>
      </c>
      <c r="B33">
        <v>10</v>
      </c>
      <c r="C33">
        <v>0</v>
      </c>
      <c r="D33">
        <v>1</v>
      </c>
      <c r="E33">
        <f>B33+(D33-1)*C33</f>
        <v>10</v>
      </c>
      <c r="F33" t="s">
        <v>68</v>
      </c>
    </row>
    <row r="34" spans="1:6" x14ac:dyDescent="0.25">
      <c r="A34" t="s">
        <v>69</v>
      </c>
      <c r="B34">
        <v>0.18</v>
      </c>
      <c r="C34">
        <v>0</v>
      </c>
      <c r="D34">
        <v>1</v>
      </c>
      <c r="E34">
        <f>B34+(D34-1)*C34</f>
        <v>0.18</v>
      </c>
      <c r="F34" t="s">
        <v>70</v>
      </c>
    </row>
    <row r="35" spans="1:6" x14ac:dyDescent="0.25">
      <c r="A35" t="s">
        <v>71</v>
      </c>
      <c r="B35" s="2">
        <v>2.2999999999999999E-16</v>
      </c>
      <c r="C35">
        <v>0</v>
      </c>
      <c r="D35">
        <v>1</v>
      </c>
      <c r="E35">
        <f>B35+(D35-1)*C35</f>
        <v>2.2999999999999999E-16</v>
      </c>
      <c r="F35" t="s">
        <v>72</v>
      </c>
    </row>
    <row r="36" spans="1:6" x14ac:dyDescent="0.25">
      <c r="A36" t="s">
        <v>73</v>
      </c>
      <c r="B36">
        <v>1.33</v>
      </c>
      <c r="C36">
        <v>0</v>
      </c>
      <c r="D36">
        <v>1</v>
      </c>
      <c r="E36">
        <f>B36+(D36-1)*C36</f>
        <v>1.33</v>
      </c>
      <c r="F36" t="s">
        <v>74</v>
      </c>
    </row>
    <row r="37" spans="1:6" x14ac:dyDescent="0.25">
      <c r="A37" t="s">
        <v>75</v>
      </c>
      <c r="B37">
        <v>1</v>
      </c>
      <c r="C37">
        <v>0</v>
      </c>
      <c r="D37">
        <v>1</v>
      </c>
      <c r="E37">
        <f>B37+(D37-1)*C37</f>
        <v>1</v>
      </c>
      <c r="F37" t="s">
        <v>76</v>
      </c>
    </row>
    <row r="38" spans="1:6" x14ac:dyDescent="0.25">
      <c r="A38" t="s">
        <v>77</v>
      </c>
      <c r="B38">
        <v>1</v>
      </c>
      <c r="C38">
        <v>0</v>
      </c>
      <c r="D38">
        <v>1</v>
      </c>
      <c r="E38">
        <f>B38+(D38-1)*C38</f>
        <v>1</v>
      </c>
      <c r="F38" t="s">
        <v>78</v>
      </c>
    </row>
    <row r="39" spans="1:6" x14ac:dyDescent="0.25">
      <c r="A39" t="s">
        <v>79</v>
      </c>
      <c r="B39" s="2">
        <v>5.9999999999999997E-7</v>
      </c>
      <c r="C39">
        <v>0</v>
      </c>
      <c r="D39">
        <v>1</v>
      </c>
      <c r="E39">
        <f>B39+(D39-1)*C39</f>
        <v>5.9999999999999997E-7</v>
      </c>
      <c r="F39" t="s">
        <v>64</v>
      </c>
    </row>
    <row r="40" spans="1:6" x14ac:dyDescent="0.25">
      <c r="A40" t="s">
        <v>80</v>
      </c>
      <c r="B40" s="2">
        <v>6.0000000000000002E-6</v>
      </c>
      <c r="C40">
        <v>0</v>
      </c>
      <c r="D40">
        <v>1</v>
      </c>
      <c r="E40">
        <f>B40+(D40-1)*C40</f>
        <v>6.0000000000000002E-6</v>
      </c>
      <c r="F40" t="s">
        <v>66</v>
      </c>
    </row>
    <row r="41" spans="1:6" x14ac:dyDescent="0.25">
      <c r="A41" t="s">
        <v>81</v>
      </c>
      <c r="B41">
        <v>20</v>
      </c>
      <c r="C41">
        <v>0</v>
      </c>
      <c r="D41">
        <v>1</v>
      </c>
      <c r="E41">
        <f>B41+(D41-1)*C41</f>
        <v>20</v>
      </c>
      <c r="F41" t="s">
        <v>68</v>
      </c>
    </row>
    <row r="42" spans="1:6" x14ac:dyDescent="0.25">
      <c r="A42" t="s">
        <v>82</v>
      </c>
      <c r="B42">
        <v>9</v>
      </c>
      <c r="C42">
        <v>0</v>
      </c>
      <c r="D42">
        <v>1</v>
      </c>
      <c r="E42">
        <f>B42+(D42-1)*C42</f>
        <v>9</v>
      </c>
      <c r="F42" t="s">
        <v>70</v>
      </c>
    </row>
    <row r="43" spans="1:6" x14ac:dyDescent="0.25">
      <c r="A43" t="s">
        <v>83</v>
      </c>
      <c r="B43" s="2">
        <v>3.8000000000000001E-17</v>
      </c>
      <c r="C43">
        <v>0</v>
      </c>
      <c r="D43">
        <v>1</v>
      </c>
      <c r="E43">
        <f>B43+(D43-1)*C43</f>
        <v>3.8000000000000001E-17</v>
      </c>
      <c r="F43" t="s">
        <v>72</v>
      </c>
    </row>
    <row r="44" spans="1:6" x14ac:dyDescent="0.25">
      <c r="A44" t="s">
        <v>84</v>
      </c>
      <c r="B44">
        <v>1.33</v>
      </c>
      <c r="C44">
        <v>0</v>
      </c>
      <c r="D44">
        <v>1</v>
      </c>
      <c r="E44">
        <f>B44+(D44-1)*C44</f>
        <v>1.33</v>
      </c>
      <c r="F44" t="s">
        <v>74</v>
      </c>
    </row>
    <row r="45" spans="1:6" x14ac:dyDescent="0.25">
      <c r="A45" t="s">
        <v>85</v>
      </c>
      <c r="B45">
        <v>1</v>
      </c>
      <c r="C45">
        <v>0</v>
      </c>
      <c r="D45">
        <v>1</v>
      </c>
      <c r="E45">
        <f>B45+(D45-1)*C45</f>
        <v>1</v>
      </c>
      <c r="F45" t="s">
        <v>76</v>
      </c>
    </row>
    <row r="46" spans="1:6" x14ac:dyDescent="0.25">
      <c r="A46" t="s">
        <v>86</v>
      </c>
      <c r="B46">
        <v>0</v>
      </c>
      <c r="C46">
        <v>0</v>
      </c>
      <c r="D46">
        <v>1</v>
      </c>
      <c r="E46">
        <f>B46+(D46-1)*C46</f>
        <v>0</v>
      </c>
      <c r="F46" t="s">
        <v>87</v>
      </c>
    </row>
    <row r="47" spans="1:6" x14ac:dyDescent="0.25">
      <c r="A47" t="s">
        <v>88</v>
      </c>
      <c r="B47" s="2">
        <v>5.9999999999999997E-7</v>
      </c>
      <c r="C47">
        <v>0</v>
      </c>
      <c r="D47">
        <v>1</v>
      </c>
      <c r="E47">
        <f>B47+(D47-1)*C47</f>
        <v>5.9999999999999997E-7</v>
      </c>
      <c r="F47" t="s">
        <v>64</v>
      </c>
    </row>
    <row r="48" spans="1:6" x14ac:dyDescent="0.25">
      <c r="A48" t="s">
        <v>89</v>
      </c>
      <c r="B48" s="2">
        <v>6.0000000000000002E-6</v>
      </c>
      <c r="C48">
        <v>0</v>
      </c>
      <c r="D48">
        <v>1</v>
      </c>
      <c r="E48">
        <f>B48+(D48-1)*C48</f>
        <v>6.0000000000000002E-6</v>
      </c>
      <c r="F48" t="s">
        <v>66</v>
      </c>
    </row>
    <row r="49" spans="1:6" x14ac:dyDescent="0.25">
      <c r="A49" t="s">
        <v>90</v>
      </c>
      <c r="B49">
        <v>20</v>
      </c>
      <c r="C49">
        <v>0</v>
      </c>
      <c r="D49">
        <v>1</v>
      </c>
      <c r="E49">
        <f>B49+(D49-1)*C49</f>
        <v>20</v>
      </c>
      <c r="F49" t="s">
        <v>68</v>
      </c>
    </row>
    <row r="50" spans="1:6" x14ac:dyDescent="0.25">
      <c r="A50" t="s">
        <v>91</v>
      </c>
      <c r="B50">
        <v>1</v>
      </c>
      <c r="C50">
        <v>0</v>
      </c>
      <c r="D50">
        <v>1</v>
      </c>
      <c r="E50">
        <f>B50+(D50-1)*C50</f>
        <v>1</v>
      </c>
      <c r="F50" t="s">
        <v>70</v>
      </c>
    </row>
    <row r="51" spans="1:6" x14ac:dyDescent="0.25">
      <c r="A51" t="s">
        <v>92</v>
      </c>
      <c r="B51">
        <v>0</v>
      </c>
      <c r="C51">
        <v>0</v>
      </c>
      <c r="D51">
        <v>1</v>
      </c>
      <c r="E51">
        <f>B51+(D51-1)*C51</f>
        <v>0</v>
      </c>
      <c r="F51" t="s">
        <v>93</v>
      </c>
    </row>
    <row r="52" spans="1:6" x14ac:dyDescent="0.25">
      <c r="A52" t="s">
        <v>94</v>
      </c>
      <c r="B52">
        <v>0</v>
      </c>
      <c r="C52">
        <v>0</v>
      </c>
      <c r="D52">
        <v>1</v>
      </c>
      <c r="E52">
        <f>B52+(D52-1)*C52</f>
        <v>0</v>
      </c>
      <c r="F52" t="s">
        <v>74</v>
      </c>
    </row>
    <row r="53" spans="1:6" x14ac:dyDescent="0.25">
      <c r="A53" t="s">
        <v>95</v>
      </c>
      <c r="B53">
        <v>0</v>
      </c>
      <c r="C53">
        <v>0</v>
      </c>
      <c r="D53">
        <v>1</v>
      </c>
      <c r="E53">
        <f>B53+(D53-1)*C53</f>
        <v>0</v>
      </c>
      <c r="F53" t="s">
        <v>76</v>
      </c>
    </row>
    <row r="54" spans="1:6" x14ac:dyDescent="0.25">
      <c r="A54" t="s">
        <v>96</v>
      </c>
      <c r="B54">
        <v>0</v>
      </c>
      <c r="C54">
        <v>0</v>
      </c>
      <c r="D54">
        <v>1</v>
      </c>
      <c r="E54">
        <f>B54+(D54-1)*C54</f>
        <v>0</v>
      </c>
      <c r="F54" t="s">
        <v>97</v>
      </c>
    </row>
    <row r="55" spans="1:6" x14ac:dyDescent="0.25">
      <c r="A55" t="s">
        <v>98</v>
      </c>
      <c r="B55" t="s">
        <v>99</v>
      </c>
      <c r="D55">
        <v>1</v>
      </c>
      <c r="F55" t="s">
        <v>99</v>
      </c>
    </row>
    <row r="56" spans="1:6" x14ac:dyDescent="0.25">
      <c r="A56" t="s">
        <v>100</v>
      </c>
      <c r="B56">
        <v>0</v>
      </c>
      <c r="C56">
        <v>0</v>
      </c>
      <c r="D56">
        <v>1</v>
      </c>
      <c r="E56">
        <f>B56+(D56-1)*C56</f>
        <v>0</v>
      </c>
      <c r="F56" t="s">
        <v>70</v>
      </c>
    </row>
    <row r="57" spans="1:6" x14ac:dyDescent="0.25">
      <c r="A57" t="s">
        <v>101</v>
      </c>
      <c r="B57">
        <v>0</v>
      </c>
      <c r="C57">
        <v>0</v>
      </c>
      <c r="D57">
        <v>1</v>
      </c>
      <c r="E57">
        <f>B57+(D57-1)*C57</f>
        <v>0</v>
      </c>
      <c r="F57" t="s">
        <v>102</v>
      </c>
    </row>
    <row r="58" spans="1:6" x14ac:dyDescent="0.25">
      <c r="A58" t="s">
        <v>103</v>
      </c>
      <c r="B58">
        <v>0</v>
      </c>
      <c r="C58">
        <v>0</v>
      </c>
      <c r="D58">
        <v>1</v>
      </c>
      <c r="E58">
        <f>B58+(D58-1)*C58</f>
        <v>0</v>
      </c>
      <c r="F58" t="s">
        <v>104</v>
      </c>
    </row>
    <row r="59" spans="1:6" x14ac:dyDescent="0.25">
      <c r="A59" t="s">
        <v>105</v>
      </c>
      <c r="B59">
        <v>0</v>
      </c>
      <c r="C59">
        <v>0</v>
      </c>
      <c r="D59">
        <v>1</v>
      </c>
      <c r="E59">
        <f>B59+(D59-1)*C59</f>
        <v>0</v>
      </c>
      <c r="F59" t="s">
        <v>106</v>
      </c>
    </row>
    <row r="60" spans="1:6" x14ac:dyDescent="0.25">
      <c r="A60" t="s">
        <v>107</v>
      </c>
      <c r="B60" s="2">
        <v>5.9999999999999997E-7</v>
      </c>
      <c r="C60">
        <v>0</v>
      </c>
      <c r="D60">
        <v>1</v>
      </c>
      <c r="E60">
        <f>B60+(D60-1)*C60</f>
        <v>5.9999999999999997E-7</v>
      </c>
      <c r="F60" t="s">
        <v>64</v>
      </c>
    </row>
    <row r="61" spans="1:6" x14ac:dyDescent="0.25">
      <c r="A61" t="s">
        <v>108</v>
      </c>
      <c r="B61" s="2">
        <v>6.0000000000000002E-6</v>
      </c>
      <c r="C61">
        <v>0</v>
      </c>
      <c r="D61">
        <v>1</v>
      </c>
      <c r="E61">
        <f>B61+(D61-1)*C61</f>
        <v>6.0000000000000002E-6</v>
      </c>
      <c r="F61" t="s">
        <v>66</v>
      </c>
    </row>
    <row r="62" spans="1:6" x14ac:dyDescent="0.25">
      <c r="A62" t="s">
        <v>109</v>
      </c>
      <c r="B62">
        <v>5</v>
      </c>
      <c r="C62">
        <v>0</v>
      </c>
      <c r="D62">
        <v>1</v>
      </c>
      <c r="E62">
        <f>B62+(D62-1)*C62</f>
        <v>5</v>
      </c>
      <c r="F62" t="s">
        <v>68</v>
      </c>
    </row>
    <row r="63" spans="1:6" x14ac:dyDescent="0.25">
      <c r="A63" t="s">
        <v>110</v>
      </c>
      <c r="B63">
        <v>2</v>
      </c>
      <c r="C63">
        <v>0</v>
      </c>
      <c r="D63">
        <v>1</v>
      </c>
      <c r="E63">
        <f>B63+(D63-1)*C63</f>
        <v>2</v>
      </c>
      <c r="F63" t="s">
        <v>111</v>
      </c>
    </row>
    <row r="64" spans="1:6" x14ac:dyDescent="0.25">
      <c r="A64" t="s">
        <v>112</v>
      </c>
      <c r="B64">
        <v>2</v>
      </c>
      <c r="C64">
        <v>0</v>
      </c>
      <c r="D64">
        <v>1</v>
      </c>
      <c r="E64">
        <f>B64+(D64-1)*C64</f>
        <v>2</v>
      </c>
      <c r="F64" t="s">
        <v>113</v>
      </c>
    </row>
    <row r="65" spans="1:6" x14ac:dyDescent="0.25">
      <c r="A65" t="s">
        <v>114</v>
      </c>
      <c r="B65">
        <v>1.54</v>
      </c>
      <c r="C65">
        <v>0</v>
      </c>
      <c r="D65">
        <v>1</v>
      </c>
      <c r="E65">
        <f>B65+(D65-1)*C65</f>
        <v>1.54</v>
      </c>
      <c r="F65" t="s">
        <v>115</v>
      </c>
    </row>
    <row r="66" spans="1:6" x14ac:dyDescent="0.25">
      <c r="A66" t="s">
        <v>116</v>
      </c>
      <c r="B66">
        <v>0</v>
      </c>
      <c r="C66">
        <v>0</v>
      </c>
      <c r="D66">
        <v>1</v>
      </c>
      <c r="E66">
        <f>B66+(D66-1)*C66</f>
        <v>0</v>
      </c>
      <c r="F66" t="s">
        <v>117</v>
      </c>
    </row>
    <row r="67" spans="1:6" x14ac:dyDescent="0.25">
      <c r="A67" t="s">
        <v>118</v>
      </c>
      <c r="B67">
        <v>1</v>
      </c>
      <c r="C67">
        <v>0</v>
      </c>
      <c r="D67">
        <v>1</v>
      </c>
      <c r="E67">
        <f>B67+(D67-1)*C67</f>
        <v>1</v>
      </c>
      <c r="F67" t="s">
        <v>119</v>
      </c>
    </row>
    <row r="68" spans="1:6" x14ac:dyDescent="0.25">
      <c r="A68" t="s">
        <v>120</v>
      </c>
      <c r="B68">
        <v>1.1399999999999999</v>
      </c>
      <c r="C68">
        <v>0</v>
      </c>
      <c r="D68">
        <v>1</v>
      </c>
      <c r="E68">
        <f>B68+(D68-1)*C68</f>
        <v>1.1399999999999999</v>
      </c>
      <c r="F68" t="s">
        <v>121</v>
      </c>
    </row>
    <row r="69" spans="1:6" x14ac:dyDescent="0.25">
      <c r="A69" t="s">
        <v>122</v>
      </c>
      <c r="B69">
        <v>1</v>
      </c>
      <c r="C69">
        <v>0</v>
      </c>
      <c r="D69">
        <v>1</v>
      </c>
      <c r="E69">
        <f>B69+(D69-1)*C69</f>
        <v>1</v>
      </c>
      <c r="F69" t="s">
        <v>123</v>
      </c>
    </row>
    <row r="70" spans="1:6" x14ac:dyDescent="0.25">
      <c r="A70" t="s">
        <v>124</v>
      </c>
      <c r="B70">
        <v>1E-3</v>
      </c>
      <c r="C70">
        <v>0</v>
      </c>
      <c r="D70">
        <v>1</v>
      </c>
      <c r="E70">
        <f>B70+(D70-1)*C70</f>
        <v>1E-3</v>
      </c>
      <c r="F70" t="s">
        <v>125</v>
      </c>
    </row>
    <row r="71" spans="1:6" x14ac:dyDescent="0.25">
      <c r="A71" t="s">
        <v>126</v>
      </c>
      <c r="B71">
        <v>1</v>
      </c>
      <c r="C71">
        <v>0</v>
      </c>
      <c r="D71">
        <v>1</v>
      </c>
      <c r="E71">
        <f>B71+(D71-1)*C71</f>
        <v>1</v>
      </c>
      <c r="F71" t="s">
        <v>127</v>
      </c>
    </row>
    <row r="72" spans="1:6" x14ac:dyDescent="0.25">
      <c r="A72" t="s">
        <v>128</v>
      </c>
      <c r="B72">
        <v>0</v>
      </c>
      <c r="C72">
        <v>0</v>
      </c>
      <c r="D72">
        <v>1</v>
      </c>
      <c r="E72">
        <f>B72+(D72-1)*C72</f>
        <v>0</v>
      </c>
      <c r="F72" t="s">
        <v>129</v>
      </c>
    </row>
    <row r="73" spans="1:6" x14ac:dyDescent="0.25">
      <c r="A73" t="s">
        <v>130</v>
      </c>
      <c r="B73">
        <v>0.01</v>
      </c>
      <c r="C73">
        <v>0</v>
      </c>
      <c r="D73">
        <v>1</v>
      </c>
      <c r="E73">
        <f>B73+(D73-1)*C73</f>
        <v>0.01</v>
      </c>
      <c r="F73" t="s">
        <v>131</v>
      </c>
    </row>
    <row r="74" spans="1:6" x14ac:dyDescent="0.25">
      <c r="A74" t="s">
        <v>132</v>
      </c>
      <c r="B74">
        <v>60</v>
      </c>
      <c r="C74">
        <v>0</v>
      </c>
      <c r="D74">
        <v>1</v>
      </c>
      <c r="E74">
        <f>B74+(D74-1)*C74</f>
        <v>60</v>
      </c>
      <c r="F74" t="s">
        <v>133</v>
      </c>
    </row>
    <row r="75" spans="1:6" x14ac:dyDescent="0.25">
      <c r="A75" t="s">
        <v>134</v>
      </c>
      <c r="B75">
        <v>0.9</v>
      </c>
      <c r="C75">
        <v>0</v>
      </c>
      <c r="D75">
        <v>1</v>
      </c>
      <c r="E75">
        <f>B75+(D75-1)*C75</f>
        <v>0.9</v>
      </c>
      <c r="F75" t="s">
        <v>135</v>
      </c>
    </row>
    <row r="76" spans="1:6" x14ac:dyDescent="0.25">
      <c r="A76" t="s">
        <v>136</v>
      </c>
      <c r="B76">
        <v>1.54</v>
      </c>
      <c r="C76">
        <v>0</v>
      </c>
      <c r="D76">
        <v>1</v>
      </c>
      <c r="E76">
        <f>B76+(D76-1)*C76</f>
        <v>1.54</v>
      </c>
      <c r="F76" t="s">
        <v>115</v>
      </c>
    </row>
    <row r="77" spans="1:6" x14ac:dyDescent="0.25">
      <c r="A77" t="s">
        <v>137</v>
      </c>
      <c r="B77">
        <v>0</v>
      </c>
      <c r="C77">
        <v>0</v>
      </c>
      <c r="D77">
        <v>1</v>
      </c>
      <c r="E77">
        <f>B77+(D77-1)*C77</f>
        <v>0</v>
      </c>
      <c r="F77" t="s">
        <v>117</v>
      </c>
    </row>
    <row r="78" spans="1:6" x14ac:dyDescent="0.25">
      <c r="A78" t="s">
        <v>138</v>
      </c>
      <c r="B78">
        <v>1</v>
      </c>
      <c r="C78">
        <v>0</v>
      </c>
      <c r="D78">
        <v>1</v>
      </c>
      <c r="E78">
        <f>B78+(D78-1)*C78</f>
        <v>1</v>
      </c>
      <c r="F78" t="s">
        <v>119</v>
      </c>
    </row>
    <row r="79" spans="1:6" x14ac:dyDescent="0.25">
      <c r="A79" t="s">
        <v>139</v>
      </c>
      <c r="B79">
        <v>1.1399999999999999</v>
      </c>
      <c r="C79">
        <v>0</v>
      </c>
      <c r="D79">
        <v>1</v>
      </c>
      <c r="E79">
        <f>B79+(D79-1)*C79</f>
        <v>1.1399999999999999</v>
      </c>
      <c r="F79" t="s">
        <v>121</v>
      </c>
    </row>
    <row r="80" spans="1:6" x14ac:dyDescent="0.25">
      <c r="A80" t="s">
        <v>140</v>
      </c>
      <c r="B80">
        <v>1</v>
      </c>
      <c r="C80">
        <v>0</v>
      </c>
      <c r="D80">
        <v>1</v>
      </c>
      <c r="E80">
        <f>B80+(D80-1)*C80</f>
        <v>1</v>
      </c>
      <c r="F80" t="s">
        <v>123</v>
      </c>
    </row>
    <row r="81" spans="1:6" x14ac:dyDescent="0.25">
      <c r="A81" t="s">
        <v>141</v>
      </c>
      <c r="B81">
        <v>1E-3</v>
      </c>
      <c r="C81">
        <v>0</v>
      </c>
      <c r="D81">
        <v>1</v>
      </c>
      <c r="E81">
        <f>B81+(D81-1)*C81</f>
        <v>1E-3</v>
      </c>
      <c r="F81" t="s">
        <v>125</v>
      </c>
    </row>
    <row r="82" spans="1:6" x14ac:dyDescent="0.25">
      <c r="A82" t="s">
        <v>142</v>
      </c>
      <c r="B82">
        <v>1</v>
      </c>
      <c r="C82">
        <v>0</v>
      </c>
      <c r="D82">
        <v>1</v>
      </c>
      <c r="E82">
        <f>B82+(D82-1)*C82</f>
        <v>1</v>
      </c>
      <c r="F82" t="s">
        <v>127</v>
      </c>
    </row>
    <row r="83" spans="1:6" x14ac:dyDescent="0.25">
      <c r="A83" t="s">
        <v>143</v>
      </c>
      <c r="B83">
        <v>0</v>
      </c>
      <c r="C83">
        <v>0</v>
      </c>
      <c r="D83">
        <v>1</v>
      </c>
      <c r="E83">
        <f>B83+(D83-1)*C83</f>
        <v>0</v>
      </c>
      <c r="F83" t="s">
        <v>129</v>
      </c>
    </row>
    <row r="84" spans="1:6" x14ac:dyDescent="0.25">
      <c r="A84" t="s">
        <v>144</v>
      </c>
      <c r="B84">
        <v>0.01</v>
      </c>
      <c r="C84">
        <v>0</v>
      </c>
      <c r="D84">
        <v>1</v>
      </c>
      <c r="E84">
        <f>B84+(D84-1)*C84</f>
        <v>0.01</v>
      </c>
      <c r="F84" t="s">
        <v>131</v>
      </c>
    </row>
    <row r="85" spans="1:6" x14ac:dyDescent="0.25">
      <c r="A85" t="s">
        <v>145</v>
      </c>
      <c r="B85">
        <v>60</v>
      </c>
      <c r="C85">
        <v>0</v>
      </c>
      <c r="D85">
        <v>1</v>
      </c>
      <c r="E85">
        <f>B85+(D85-1)*C85</f>
        <v>60</v>
      </c>
      <c r="F85" t="s">
        <v>133</v>
      </c>
    </row>
    <row r="86" spans="1:6" x14ac:dyDescent="0.25">
      <c r="A86" t="s">
        <v>146</v>
      </c>
      <c r="B86">
        <v>0.9</v>
      </c>
      <c r="C86">
        <v>0</v>
      </c>
      <c r="D86">
        <v>1</v>
      </c>
      <c r="E86">
        <f>B86+(D86-1)*C86</f>
        <v>0.9</v>
      </c>
      <c r="F86" t="s">
        <v>135</v>
      </c>
    </row>
    <row r="87" spans="1:6" x14ac:dyDescent="0.25">
      <c r="A87" t="s">
        <v>147</v>
      </c>
      <c r="B87">
        <v>0</v>
      </c>
      <c r="C87">
        <v>0</v>
      </c>
      <c r="D87">
        <v>1</v>
      </c>
      <c r="E87">
        <f>B87+(D87-1)*C87</f>
        <v>0</v>
      </c>
      <c r="F87" t="s">
        <v>148</v>
      </c>
    </row>
    <row r="88" spans="1:6" x14ac:dyDescent="0.25">
      <c r="A88" t="s">
        <v>149</v>
      </c>
      <c r="B88" t="s">
        <v>150</v>
      </c>
      <c r="D88">
        <v>1</v>
      </c>
      <c r="F88" t="s">
        <v>150</v>
      </c>
    </row>
    <row r="89" spans="1:6" x14ac:dyDescent="0.25">
      <c r="A89" t="s">
        <v>151</v>
      </c>
      <c r="B89">
        <v>0</v>
      </c>
      <c r="C89">
        <v>0</v>
      </c>
      <c r="D89">
        <v>1</v>
      </c>
      <c r="E89">
        <f>B89+(D89-1)*C89</f>
        <v>0</v>
      </c>
      <c r="F89" t="s">
        <v>152</v>
      </c>
    </row>
    <row r="90" spans="1:6" x14ac:dyDescent="0.25">
      <c r="A90" t="s">
        <v>153</v>
      </c>
      <c r="B90">
        <v>0</v>
      </c>
      <c r="C90">
        <v>0</v>
      </c>
      <c r="D90">
        <v>1</v>
      </c>
      <c r="E90">
        <f>B90+(D90-1)*C90</f>
        <v>0</v>
      </c>
      <c r="F90" t="s">
        <v>154</v>
      </c>
    </row>
    <row r="91" spans="1:6" x14ac:dyDescent="0.25">
      <c r="A91" t="s">
        <v>155</v>
      </c>
      <c r="B91">
        <v>0</v>
      </c>
      <c r="C91">
        <v>0</v>
      </c>
      <c r="D91">
        <v>1</v>
      </c>
      <c r="E91">
        <f>B91+(D91-1)*C91</f>
        <v>0</v>
      </c>
      <c r="F91" t="s">
        <v>156</v>
      </c>
    </row>
    <row r="92" spans="1:6" x14ac:dyDescent="0.25">
      <c r="A92" t="s">
        <v>157</v>
      </c>
      <c r="B92">
        <v>0</v>
      </c>
      <c r="C92">
        <v>0</v>
      </c>
      <c r="D92">
        <v>1</v>
      </c>
      <c r="E92">
        <f>B92+(D92-1)*C92</f>
        <v>0</v>
      </c>
      <c r="F92" t="s">
        <v>158</v>
      </c>
    </row>
    <row r="93" spans="1:6" x14ac:dyDescent="0.25">
      <c r="A93" t="s">
        <v>159</v>
      </c>
      <c r="B93">
        <v>0.1</v>
      </c>
      <c r="C93">
        <v>0</v>
      </c>
      <c r="D93">
        <v>1</v>
      </c>
      <c r="E93">
        <f>B93+(D93-1)*C93</f>
        <v>0.1</v>
      </c>
      <c r="F93" t="s">
        <v>160</v>
      </c>
    </row>
    <row r="94" spans="1:6" x14ac:dyDescent="0.25">
      <c r="A94" t="s">
        <v>161</v>
      </c>
      <c r="B94">
        <v>1</v>
      </c>
      <c r="C94">
        <v>0</v>
      </c>
      <c r="D94">
        <v>1</v>
      </c>
      <c r="E94">
        <f>B94+(D94-1)*C94</f>
        <v>1</v>
      </c>
      <c r="F94" t="s">
        <v>162</v>
      </c>
    </row>
    <row r="95" spans="1:6" x14ac:dyDescent="0.25">
      <c r="A95" t="s">
        <v>163</v>
      </c>
      <c r="B95">
        <v>4</v>
      </c>
      <c r="C95">
        <v>0</v>
      </c>
      <c r="D95">
        <v>1</v>
      </c>
      <c r="E95">
        <f>B95+(D95-1)*C95</f>
        <v>4</v>
      </c>
      <c r="F95" t="s">
        <v>164</v>
      </c>
    </row>
    <row r="96" spans="1:6" x14ac:dyDescent="0.25">
      <c r="A96" t="s">
        <v>165</v>
      </c>
      <c r="B96">
        <v>0.25</v>
      </c>
      <c r="C96">
        <v>0</v>
      </c>
      <c r="D96">
        <v>1</v>
      </c>
      <c r="E96">
        <f>B96+(D96-1)*C96</f>
        <v>0.25</v>
      </c>
      <c r="F96" t="s">
        <v>166</v>
      </c>
    </row>
    <row r="97" spans="1:6" x14ac:dyDescent="0.25">
      <c r="A97" t="s">
        <v>167</v>
      </c>
      <c r="B97">
        <v>0.1</v>
      </c>
      <c r="C97">
        <v>0</v>
      </c>
      <c r="D97">
        <v>1</v>
      </c>
      <c r="E97">
        <f>B97+(D97-1)*C97</f>
        <v>0.1</v>
      </c>
      <c r="F97" t="s">
        <v>168</v>
      </c>
    </row>
    <row r="98" spans="1:6" x14ac:dyDescent="0.25">
      <c r="A98" t="s">
        <v>169</v>
      </c>
      <c r="B98">
        <v>0.01</v>
      </c>
      <c r="C98">
        <v>0</v>
      </c>
      <c r="D98">
        <v>1</v>
      </c>
      <c r="E98">
        <f>B98+(D98-1)*C98</f>
        <v>0.01</v>
      </c>
      <c r="F98" t="s">
        <v>170</v>
      </c>
    </row>
    <row r="99" spans="1:6" x14ac:dyDescent="0.25">
      <c r="A99" t="s">
        <v>171</v>
      </c>
      <c r="B99">
        <v>200</v>
      </c>
      <c r="C99">
        <v>0</v>
      </c>
      <c r="D99">
        <v>1</v>
      </c>
      <c r="E99">
        <f>B99+(D99-1)*C99</f>
        <v>200</v>
      </c>
      <c r="F99" t="s">
        <v>172</v>
      </c>
    </row>
    <row r="100" spans="1:6" x14ac:dyDescent="0.25">
      <c r="A100" t="s">
        <v>173</v>
      </c>
      <c r="B100">
        <v>0</v>
      </c>
      <c r="C100">
        <v>0</v>
      </c>
      <c r="D100">
        <v>1</v>
      </c>
      <c r="E100">
        <f>B100+(D100-1)*C100</f>
        <v>0</v>
      </c>
      <c r="F100" t="s">
        <v>174</v>
      </c>
    </row>
    <row r="101" spans="1:6" x14ac:dyDescent="0.25">
      <c r="A101" t="s">
        <v>175</v>
      </c>
      <c r="B101">
        <v>0</v>
      </c>
      <c r="C101">
        <v>0</v>
      </c>
      <c r="D101">
        <v>1</v>
      </c>
      <c r="E101">
        <f>B101+(D101-1)*C101</f>
        <v>0</v>
      </c>
      <c r="F101" t="s">
        <v>176</v>
      </c>
    </row>
    <row r="102" spans="1:6" x14ac:dyDescent="0.25">
      <c r="A102" t="s">
        <v>177</v>
      </c>
      <c r="B102">
        <v>1</v>
      </c>
      <c r="C102">
        <v>0</v>
      </c>
      <c r="D102">
        <v>1</v>
      </c>
      <c r="E102">
        <f>B102+(D102-1)*C102</f>
        <v>1</v>
      </c>
      <c r="F102" t="s">
        <v>178</v>
      </c>
    </row>
    <row r="103" spans="1:6" x14ac:dyDescent="0.25">
      <c r="A103" t="s">
        <v>179</v>
      </c>
      <c r="B103">
        <v>0</v>
      </c>
      <c r="C103">
        <v>0</v>
      </c>
      <c r="D103">
        <v>1</v>
      </c>
      <c r="E103">
        <f>B103+(D103-1)*C103</f>
        <v>0</v>
      </c>
      <c r="F103" t="s">
        <v>180</v>
      </c>
    </row>
    <row r="104" spans="1:6" x14ac:dyDescent="0.25">
      <c r="A104" t="s">
        <v>181</v>
      </c>
      <c r="B104" t="s">
        <v>182</v>
      </c>
      <c r="D104">
        <v>1</v>
      </c>
      <c r="F104" t="s">
        <v>182</v>
      </c>
    </row>
    <row r="105" spans="1:6" x14ac:dyDescent="0.25">
      <c r="A105" t="s">
        <v>183</v>
      </c>
      <c r="B105">
        <v>0</v>
      </c>
      <c r="C105">
        <v>0</v>
      </c>
      <c r="D105">
        <v>1</v>
      </c>
      <c r="E105">
        <f>B105+(D105-1)*C105</f>
        <v>0</v>
      </c>
      <c r="F105" t="s">
        <v>184</v>
      </c>
    </row>
    <row r="106" spans="1:6" x14ac:dyDescent="0.25">
      <c r="A106" t="s">
        <v>185</v>
      </c>
      <c r="B106">
        <v>0</v>
      </c>
      <c r="C106">
        <v>0</v>
      </c>
      <c r="D106">
        <v>1</v>
      </c>
      <c r="E106">
        <f>B106+(D106-1)*C106</f>
        <v>0</v>
      </c>
      <c r="F106" t="s">
        <v>186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1"/>
  <sheetViews>
    <sheetView workbookViewId="0">
      <selection activeCell="G14" sqref="G14"/>
    </sheetView>
  </sheetViews>
  <sheetFormatPr defaultRowHeight="15" x14ac:dyDescent="0.25"/>
  <cols>
    <col min="2" max="2" width="12.85546875" customWidth="1"/>
    <col min="3" max="3" width="11" customWidth="1"/>
    <col min="4" max="4" width="11.28515625" customWidth="1"/>
    <col min="5" max="6" width="11.140625" customWidth="1"/>
  </cols>
  <sheetData>
    <row r="1" spans="1:6" x14ac:dyDescent="0.25">
      <c r="B1" t="s">
        <v>190</v>
      </c>
      <c r="D1" t="s">
        <v>150</v>
      </c>
      <c r="F1" t="s">
        <v>191</v>
      </c>
    </row>
    <row r="2" spans="1:6" x14ac:dyDescent="0.25">
      <c r="B2" t="s">
        <v>99</v>
      </c>
      <c r="D2" t="s">
        <v>196</v>
      </c>
    </row>
    <row r="3" spans="1:6" x14ac:dyDescent="0.25">
      <c r="A3" t="s">
        <v>193</v>
      </c>
      <c r="B3" t="s">
        <v>192</v>
      </c>
      <c r="C3" t="s">
        <v>194</v>
      </c>
      <c r="D3" t="s">
        <v>192</v>
      </c>
      <c r="E3" t="s">
        <v>194</v>
      </c>
      <c r="F3" t="s">
        <v>195</v>
      </c>
    </row>
    <row r="4" spans="1:6" x14ac:dyDescent="0.25">
      <c r="A4">
        <v>24</v>
      </c>
      <c r="B4">
        <v>26</v>
      </c>
      <c r="C4">
        <v>1.5</v>
      </c>
    </row>
    <row r="5" spans="1:6" x14ac:dyDescent="0.25">
      <c r="A5">
        <v>30</v>
      </c>
      <c r="F5">
        <v>0.1</v>
      </c>
    </row>
    <row r="6" spans="1:6" x14ac:dyDescent="0.25">
      <c r="A6">
        <v>36</v>
      </c>
      <c r="B6">
        <v>38</v>
      </c>
      <c r="C6">
        <v>2</v>
      </c>
    </row>
    <row r="7" spans="1:6" x14ac:dyDescent="0.25">
      <c r="A7">
        <v>37</v>
      </c>
      <c r="D7">
        <v>40</v>
      </c>
      <c r="E7">
        <v>2</v>
      </c>
    </row>
    <row r="8" spans="1:6" x14ac:dyDescent="0.25">
      <c r="A8">
        <v>42</v>
      </c>
      <c r="F8">
        <v>0.2</v>
      </c>
    </row>
    <row r="9" spans="1:6" x14ac:dyDescent="0.25">
      <c r="A9">
        <v>48</v>
      </c>
      <c r="B9">
        <v>50</v>
      </c>
      <c r="C9">
        <v>1</v>
      </c>
    </row>
    <row r="10" spans="1:6" x14ac:dyDescent="0.25">
      <c r="A10">
        <v>52</v>
      </c>
      <c r="D10">
        <v>60</v>
      </c>
      <c r="E10">
        <v>1</v>
      </c>
    </row>
    <row r="11" spans="1:6" x14ac:dyDescent="0.25">
      <c r="A11">
        <v>54</v>
      </c>
      <c r="F11">
        <v>0.1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106"/>
  <sheetViews>
    <sheetView topLeftCell="A93" workbookViewId="0">
      <selection activeCell="A107" sqref="A107"/>
    </sheetView>
  </sheetViews>
  <sheetFormatPr defaultRowHeight="15" x14ac:dyDescent="0.25"/>
  <cols>
    <col min="1" max="1" width="20.7109375" customWidth="1"/>
    <col min="2" max="2" width="30.7109375" customWidth="1"/>
  </cols>
  <sheetData>
    <row r="2" spans="1:2" x14ac:dyDescent="0.25">
      <c r="A2" t="s">
        <v>7</v>
      </c>
      <c r="B2">
        <v>100</v>
      </c>
    </row>
    <row r="3" spans="1:2" x14ac:dyDescent="0.25">
      <c r="A3" t="s">
        <v>8</v>
      </c>
      <c r="B3">
        <v>1000</v>
      </c>
    </row>
    <row r="4" spans="1:2" x14ac:dyDescent="0.25">
      <c r="A4" t="s">
        <v>10</v>
      </c>
      <c r="B4">
        <v>24</v>
      </c>
    </row>
    <row r="5" spans="1:2" x14ac:dyDescent="0.25">
      <c r="A5" t="s">
        <v>12</v>
      </c>
      <c r="B5">
        <v>1.2</v>
      </c>
    </row>
    <row r="6" spans="1:2" x14ac:dyDescent="0.25">
      <c r="A6" t="s">
        <v>14</v>
      </c>
      <c r="B6">
        <v>0</v>
      </c>
    </row>
    <row r="7" spans="1:2" x14ac:dyDescent="0.25">
      <c r="A7" t="s">
        <v>16</v>
      </c>
      <c r="B7">
        <v>1</v>
      </c>
    </row>
    <row r="8" spans="1:2" x14ac:dyDescent="0.25">
      <c r="A8" t="s">
        <v>18</v>
      </c>
      <c r="B8">
        <v>10</v>
      </c>
    </row>
    <row r="9" spans="1:2" x14ac:dyDescent="0.25">
      <c r="A9" t="s">
        <v>19</v>
      </c>
      <c r="B9">
        <v>600</v>
      </c>
    </row>
    <row r="10" spans="1:2" x14ac:dyDescent="0.25">
      <c r="A10" t="s">
        <v>21</v>
      </c>
      <c r="B10">
        <v>1</v>
      </c>
    </row>
    <row r="11" spans="1:2" x14ac:dyDescent="0.25">
      <c r="A11" t="s">
        <v>23</v>
      </c>
      <c r="B11">
        <v>500000</v>
      </c>
    </row>
    <row r="12" spans="1:2" x14ac:dyDescent="0.25">
      <c r="A12" t="s">
        <v>25</v>
      </c>
      <c r="B12">
        <v>0.5</v>
      </c>
    </row>
    <row r="13" spans="1:2" x14ac:dyDescent="0.25">
      <c r="A13" t="s">
        <v>27</v>
      </c>
      <c r="B13">
        <v>1</v>
      </c>
    </row>
    <row r="14" spans="1:2" x14ac:dyDescent="0.25">
      <c r="A14" t="s">
        <v>29</v>
      </c>
      <c r="B14">
        <v>0.01</v>
      </c>
    </row>
    <row r="15" spans="1:2" x14ac:dyDescent="0.25">
      <c r="A15" t="s">
        <v>31</v>
      </c>
      <c r="B15">
        <v>1.6</v>
      </c>
    </row>
    <row r="16" spans="1:2" x14ac:dyDescent="0.25">
      <c r="A16" t="s">
        <v>33</v>
      </c>
      <c r="B16">
        <v>0.05</v>
      </c>
    </row>
    <row r="17" spans="1:2" x14ac:dyDescent="0.25">
      <c r="A17" t="s">
        <v>35</v>
      </c>
      <c r="B17">
        <v>0.1</v>
      </c>
    </row>
    <row r="18" spans="1:2" x14ac:dyDescent="0.25">
      <c r="A18" t="s">
        <v>37</v>
      </c>
      <c r="B18">
        <v>0.15</v>
      </c>
    </row>
    <row r="19" spans="1:2" x14ac:dyDescent="0.25">
      <c r="A19" t="s">
        <v>39</v>
      </c>
      <c r="B19">
        <v>3</v>
      </c>
    </row>
    <row r="20" spans="1:2" x14ac:dyDescent="0.25">
      <c r="A20" t="s">
        <v>41</v>
      </c>
      <c r="B20">
        <v>3</v>
      </c>
    </row>
    <row r="21" spans="1:2" x14ac:dyDescent="0.25">
      <c r="A21" t="s">
        <v>43</v>
      </c>
      <c r="B21">
        <v>0</v>
      </c>
    </row>
    <row r="22" spans="1:2" x14ac:dyDescent="0.25">
      <c r="A22" t="s">
        <v>45</v>
      </c>
      <c r="B22">
        <v>1234</v>
      </c>
    </row>
    <row r="23" spans="1:2" x14ac:dyDescent="0.25">
      <c r="A23" t="s">
        <v>47</v>
      </c>
      <c r="B23">
        <v>5678</v>
      </c>
    </row>
    <row r="24" spans="1:2" x14ac:dyDescent="0.25">
      <c r="A24" t="s">
        <v>49</v>
      </c>
      <c r="B24">
        <v>4</v>
      </c>
    </row>
    <row r="25" spans="1:2" x14ac:dyDescent="0.25">
      <c r="A25" t="s">
        <v>51</v>
      </c>
      <c r="B25">
        <v>2</v>
      </c>
    </row>
    <row r="26" spans="1:2" x14ac:dyDescent="0.25">
      <c r="A26" t="s">
        <v>53</v>
      </c>
      <c r="B26">
        <v>100</v>
      </c>
    </row>
    <row r="27" spans="1:2" x14ac:dyDescent="0.25">
      <c r="A27" t="s">
        <v>55</v>
      </c>
      <c r="B27">
        <v>0</v>
      </c>
    </row>
    <row r="28" spans="1:2" x14ac:dyDescent="0.25">
      <c r="A28" t="s">
        <v>57</v>
      </c>
      <c r="B28">
        <v>1</v>
      </c>
    </row>
    <row r="29" spans="1:2" x14ac:dyDescent="0.25">
      <c r="A29" t="s">
        <v>59</v>
      </c>
      <c r="B29">
        <v>0</v>
      </c>
    </row>
    <row r="30" spans="1:2" x14ac:dyDescent="0.25">
      <c r="A30" t="s">
        <v>61</v>
      </c>
      <c r="B30">
        <v>1</v>
      </c>
    </row>
    <row r="31" spans="1:2" x14ac:dyDescent="0.25">
      <c r="A31" t="s">
        <v>63</v>
      </c>
      <c r="B31" s="2">
        <v>2.0000000000000002E-5</v>
      </c>
    </row>
    <row r="32" spans="1:2" x14ac:dyDescent="0.25">
      <c r="A32" t="s">
        <v>65</v>
      </c>
      <c r="B32" s="2">
        <v>2.5000000000000001E-5</v>
      </c>
    </row>
    <row r="33" spans="1:2" x14ac:dyDescent="0.25">
      <c r="A33" t="s">
        <v>67</v>
      </c>
      <c r="B33">
        <v>10</v>
      </c>
    </row>
    <row r="34" spans="1:2" x14ac:dyDescent="0.25">
      <c r="A34" t="s">
        <v>69</v>
      </c>
      <c r="B34">
        <v>0.18</v>
      </c>
    </row>
    <row r="35" spans="1:2" x14ac:dyDescent="0.25">
      <c r="A35" t="s">
        <v>71</v>
      </c>
      <c r="B35" s="2">
        <v>2.2999999999999999E-16</v>
      </c>
    </row>
    <row r="36" spans="1:2" x14ac:dyDescent="0.25">
      <c r="A36" t="s">
        <v>73</v>
      </c>
      <c r="B36">
        <v>1.33</v>
      </c>
    </row>
    <row r="37" spans="1:2" x14ac:dyDescent="0.25">
      <c r="A37" t="s">
        <v>75</v>
      </c>
      <c r="B37">
        <v>1</v>
      </c>
    </row>
    <row r="38" spans="1:2" x14ac:dyDescent="0.25">
      <c r="A38" t="s">
        <v>77</v>
      </c>
      <c r="B38">
        <v>1</v>
      </c>
    </row>
    <row r="39" spans="1:2" x14ac:dyDescent="0.25">
      <c r="A39" t="s">
        <v>79</v>
      </c>
      <c r="B39" s="2">
        <v>5.9999999999999997E-7</v>
      </c>
    </row>
    <row r="40" spans="1:2" x14ac:dyDescent="0.25">
      <c r="A40" t="s">
        <v>80</v>
      </c>
      <c r="B40" s="2">
        <v>6.0000000000000002E-6</v>
      </c>
    </row>
    <row r="41" spans="1:2" x14ac:dyDescent="0.25">
      <c r="A41" t="s">
        <v>81</v>
      </c>
      <c r="B41">
        <v>20</v>
      </c>
    </row>
    <row r="42" spans="1:2" x14ac:dyDescent="0.25">
      <c r="A42" t="s">
        <v>82</v>
      </c>
      <c r="B42">
        <v>9</v>
      </c>
    </row>
    <row r="43" spans="1:2" x14ac:dyDescent="0.25">
      <c r="A43" t="s">
        <v>83</v>
      </c>
      <c r="B43" s="2">
        <v>3.8000000000000001E-17</v>
      </c>
    </row>
    <row r="44" spans="1:2" x14ac:dyDescent="0.25">
      <c r="A44" t="s">
        <v>84</v>
      </c>
      <c r="B44">
        <v>1.33</v>
      </c>
    </row>
    <row r="45" spans="1:2" x14ac:dyDescent="0.25">
      <c r="A45" t="s">
        <v>85</v>
      </c>
      <c r="B45">
        <v>1</v>
      </c>
    </row>
    <row r="46" spans="1:2" x14ac:dyDescent="0.25">
      <c r="A46" t="s">
        <v>86</v>
      </c>
      <c r="B46">
        <v>0</v>
      </c>
    </row>
    <row r="47" spans="1:2" x14ac:dyDescent="0.25">
      <c r="A47" t="s">
        <v>88</v>
      </c>
      <c r="B47" s="2">
        <v>5.9999999999999997E-7</v>
      </c>
    </row>
    <row r="48" spans="1:2" x14ac:dyDescent="0.25">
      <c r="A48" t="s">
        <v>89</v>
      </c>
      <c r="B48" s="2">
        <v>6.0000000000000002E-6</v>
      </c>
    </row>
    <row r="49" spans="1:2" x14ac:dyDescent="0.25">
      <c r="A49" t="s">
        <v>90</v>
      </c>
      <c r="B49">
        <v>20</v>
      </c>
    </row>
    <row r="50" spans="1:2" x14ac:dyDescent="0.25">
      <c r="A50" t="s">
        <v>91</v>
      </c>
      <c r="B50">
        <v>1</v>
      </c>
    </row>
    <row r="51" spans="1:2" x14ac:dyDescent="0.25">
      <c r="A51" t="s">
        <v>92</v>
      </c>
      <c r="B51">
        <v>0</v>
      </c>
    </row>
    <row r="52" spans="1:2" x14ac:dyDescent="0.25">
      <c r="A52" t="s">
        <v>94</v>
      </c>
      <c r="B52">
        <v>0</v>
      </c>
    </row>
    <row r="53" spans="1:2" x14ac:dyDescent="0.25">
      <c r="A53" t="s">
        <v>95</v>
      </c>
      <c r="B53">
        <v>0</v>
      </c>
    </row>
    <row r="54" spans="1:2" x14ac:dyDescent="0.25">
      <c r="A54" t="s">
        <v>96</v>
      </c>
      <c r="B54">
        <v>0</v>
      </c>
    </row>
    <row r="55" spans="1:2" x14ac:dyDescent="0.25">
      <c r="A55" t="s">
        <v>98</v>
      </c>
      <c r="B55" t="s">
        <v>99</v>
      </c>
    </row>
    <row r="56" spans="1:2" x14ac:dyDescent="0.25">
      <c r="A56" t="s">
        <v>100</v>
      </c>
      <c r="B56">
        <v>0</v>
      </c>
    </row>
    <row r="57" spans="1:2" x14ac:dyDescent="0.25">
      <c r="A57" t="s">
        <v>101</v>
      </c>
      <c r="B57">
        <v>0</v>
      </c>
    </row>
    <row r="58" spans="1:2" x14ac:dyDescent="0.25">
      <c r="A58" t="s">
        <v>103</v>
      </c>
      <c r="B58">
        <v>0</v>
      </c>
    </row>
    <row r="59" spans="1:2" x14ac:dyDescent="0.25">
      <c r="A59" t="s">
        <v>105</v>
      </c>
      <c r="B59">
        <v>0</v>
      </c>
    </row>
    <row r="60" spans="1:2" x14ac:dyDescent="0.25">
      <c r="A60" t="s">
        <v>107</v>
      </c>
      <c r="B60" s="2">
        <v>5.9999999999999997E-7</v>
      </c>
    </row>
    <row r="61" spans="1:2" x14ac:dyDescent="0.25">
      <c r="A61" t="s">
        <v>108</v>
      </c>
      <c r="B61" s="2">
        <v>6.0000000000000002E-6</v>
      </c>
    </row>
    <row r="62" spans="1:2" x14ac:dyDescent="0.25">
      <c r="A62" t="s">
        <v>109</v>
      </c>
      <c r="B62">
        <v>5</v>
      </c>
    </row>
    <row r="63" spans="1:2" x14ac:dyDescent="0.25">
      <c r="A63" t="s">
        <v>110</v>
      </c>
      <c r="B63">
        <v>2</v>
      </c>
    </row>
    <row r="64" spans="1:2" x14ac:dyDescent="0.25">
      <c r="A64" t="s">
        <v>112</v>
      </c>
      <c r="B64">
        <v>2</v>
      </c>
    </row>
    <row r="65" spans="1:2" x14ac:dyDescent="0.25">
      <c r="A65" t="s">
        <v>114</v>
      </c>
      <c r="B65">
        <v>1.54</v>
      </c>
    </row>
    <row r="66" spans="1:2" x14ac:dyDescent="0.25">
      <c r="A66" t="s">
        <v>116</v>
      </c>
      <c r="B66">
        <v>0</v>
      </c>
    </row>
    <row r="67" spans="1:2" x14ac:dyDescent="0.25">
      <c r="A67" t="s">
        <v>118</v>
      </c>
      <c r="B67">
        <v>1</v>
      </c>
    </row>
    <row r="68" spans="1:2" x14ac:dyDescent="0.25">
      <c r="A68" t="s">
        <v>120</v>
      </c>
      <c r="B68">
        <v>1.1399999999999999</v>
      </c>
    </row>
    <row r="69" spans="1:2" x14ac:dyDescent="0.25">
      <c r="A69" t="s">
        <v>122</v>
      </c>
      <c r="B69">
        <v>1</v>
      </c>
    </row>
    <row r="70" spans="1:2" x14ac:dyDescent="0.25">
      <c r="A70" t="s">
        <v>124</v>
      </c>
      <c r="B70">
        <v>1E-3</v>
      </c>
    </row>
    <row r="71" spans="1:2" x14ac:dyDescent="0.25">
      <c r="A71" t="s">
        <v>126</v>
      </c>
      <c r="B71">
        <v>1</v>
      </c>
    </row>
    <row r="72" spans="1:2" x14ac:dyDescent="0.25">
      <c r="A72" t="s">
        <v>128</v>
      </c>
      <c r="B72">
        <v>0</v>
      </c>
    </row>
    <row r="73" spans="1:2" x14ac:dyDescent="0.25">
      <c r="A73" t="s">
        <v>130</v>
      </c>
      <c r="B73">
        <v>0.01</v>
      </c>
    </row>
    <row r="74" spans="1:2" x14ac:dyDescent="0.25">
      <c r="A74" t="s">
        <v>132</v>
      </c>
      <c r="B74">
        <v>60</v>
      </c>
    </row>
    <row r="75" spans="1:2" x14ac:dyDescent="0.25">
      <c r="A75" t="s">
        <v>134</v>
      </c>
      <c r="B75">
        <v>0.9</v>
      </c>
    </row>
    <row r="76" spans="1:2" x14ac:dyDescent="0.25">
      <c r="A76" t="s">
        <v>136</v>
      </c>
      <c r="B76">
        <v>1.54</v>
      </c>
    </row>
    <row r="77" spans="1:2" x14ac:dyDescent="0.25">
      <c r="A77" t="s">
        <v>137</v>
      </c>
      <c r="B77">
        <v>0</v>
      </c>
    </row>
    <row r="78" spans="1:2" x14ac:dyDescent="0.25">
      <c r="A78" t="s">
        <v>138</v>
      </c>
      <c r="B78">
        <v>1</v>
      </c>
    </row>
    <row r="79" spans="1:2" x14ac:dyDescent="0.25">
      <c r="A79" t="s">
        <v>139</v>
      </c>
      <c r="B79">
        <v>1.1399999999999999</v>
      </c>
    </row>
    <row r="80" spans="1:2" x14ac:dyDescent="0.25">
      <c r="A80" t="s">
        <v>140</v>
      </c>
      <c r="B80">
        <v>1</v>
      </c>
    </row>
    <row r="81" spans="1:2" x14ac:dyDescent="0.25">
      <c r="A81" t="s">
        <v>141</v>
      </c>
      <c r="B81">
        <v>1E-3</v>
      </c>
    </row>
    <row r="82" spans="1:2" x14ac:dyDescent="0.25">
      <c r="A82" t="s">
        <v>142</v>
      </c>
      <c r="B82">
        <v>1</v>
      </c>
    </row>
    <row r="83" spans="1:2" x14ac:dyDescent="0.25">
      <c r="A83" t="s">
        <v>143</v>
      </c>
      <c r="B83">
        <v>0</v>
      </c>
    </row>
    <row r="84" spans="1:2" x14ac:dyDescent="0.25">
      <c r="A84" t="s">
        <v>144</v>
      </c>
      <c r="B84">
        <v>0.01</v>
      </c>
    </row>
    <row r="85" spans="1:2" x14ac:dyDescent="0.25">
      <c r="A85" t="s">
        <v>145</v>
      </c>
      <c r="B85">
        <v>60</v>
      </c>
    </row>
    <row r="86" spans="1:2" x14ac:dyDescent="0.25">
      <c r="A86" t="s">
        <v>146</v>
      </c>
      <c r="B86">
        <v>0.9</v>
      </c>
    </row>
    <row r="87" spans="1:2" x14ac:dyDescent="0.25">
      <c r="A87" t="s">
        <v>147</v>
      </c>
      <c r="B87">
        <v>0</v>
      </c>
    </row>
    <row r="88" spans="1:2" x14ac:dyDescent="0.25">
      <c r="A88" t="s">
        <v>149</v>
      </c>
      <c r="B88" t="s">
        <v>150</v>
      </c>
    </row>
    <row r="89" spans="1:2" x14ac:dyDescent="0.25">
      <c r="A89" t="s">
        <v>151</v>
      </c>
      <c r="B89">
        <v>0</v>
      </c>
    </row>
    <row r="90" spans="1:2" x14ac:dyDescent="0.25">
      <c r="A90" t="s">
        <v>153</v>
      </c>
      <c r="B90">
        <v>0</v>
      </c>
    </row>
    <row r="91" spans="1:2" x14ac:dyDescent="0.25">
      <c r="A91" t="s">
        <v>155</v>
      </c>
      <c r="B91">
        <v>0</v>
      </c>
    </row>
    <row r="92" spans="1:2" x14ac:dyDescent="0.25">
      <c r="A92" t="s">
        <v>157</v>
      </c>
      <c r="B92">
        <v>0</v>
      </c>
    </row>
    <row r="93" spans="1:2" x14ac:dyDescent="0.25">
      <c r="A93" t="s">
        <v>159</v>
      </c>
      <c r="B93">
        <v>0.1</v>
      </c>
    </row>
    <row r="94" spans="1:2" x14ac:dyDescent="0.25">
      <c r="A94" t="s">
        <v>161</v>
      </c>
      <c r="B94">
        <v>1</v>
      </c>
    </row>
    <row r="95" spans="1:2" x14ac:dyDescent="0.25">
      <c r="A95" t="s">
        <v>163</v>
      </c>
      <c r="B95">
        <v>4</v>
      </c>
    </row>
    <row r="96" spans="1:2" x14ac:dyDescent="0.25">
      <c r="A96" t="s">
        <v>165</v>
      </c>
      <c r="B96">
        <v>0.25</v>
      </c>
    </row>
    <row r="97" spans="1:2" x14ac:dyDescent="0.25">
      <c r="A97" t="s">
        <v>167</v>
      </c>
      <c r="B97">
        <v>0.1</v>
      </c>
    </row>
    <row r="98" spans="1:2" x14ac:dyDescent="0.25">
      <c r="A98" t="s">
        <v>169</v>
      </c>
      <c r="B98">
        <v>0.01</v>
      </c>
    </row>
    <row r="99" spans="1:2" x14ac:dyDescent="0.25">
      <c r="A99" t="s">
        <v>171</v>
      </c>
      <c r="B99">
        <v>200</v>
      </c>
    </row>
    <row r="100" spans="1:2" x14ac:dyDescent="0.25">
      <c r="A100" t="s">
        <v>173</v>
      </c>
      <c r="B100">
        <v>0</v>
      </c>
    </row>
    <row r="101" spans="1:2" x14ac:dyDescent="0.25">
      <c r="A101" t="s">
        <v>175</v>
      </c>
      <c r="B101">
        <v>0</v>
      </c>
    </row>
    <row r="102" spans="1:2" x14ac:dyDescent="0.25">
      <c r="A102" t="s">
        <v>177</v>
      </c>
      <c r="B102">
        <v>1</v>
      </c>
    </row>
    <row r="103" spans="1:2" x14ac:dyDescent="0.25">
      <c r="A103" t="s">
        <v>179</v>
      </c>
      <c r="B103">
        <v>0</v>
      </c>
    </row>
    <row r="104" spans="1:2" x14ac:dyDescent="0.25">
      <c r="A104" t="s">
        <v>181</v>
      </c>
      <c r="B104" t="s">
        <v>182</v>
      </c>
    </row>
    <row r="105" spans="1:2" x14ac:dyDescent="0.25">
      <c r="A105" t="s">
        <v>183</v>
      </c>
      <c r="B105">
        <v>0</v>
      </c>
    </row>
    <row r="106" spans="1:2" x14ac:dyDescent="0.25">
      <c r="A106" t="s">
        <v>185</v>
      </c>
      <c r="B10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</vt:lpstr>
      <vt:lpstr>Input</vt:lpstr>
      <vt:lpstr>Treatment</vt:lpstr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Gib</dc:creator>
  <cp:lastModifiedBy>Gib</cp:lastModifiedBy>
  <dcterms:created xsi:type="dcterms:W3CDTF">2014-03-19T20:45:37Z</dcterms:created>
  <dcterms:modified xsi:type="dcterms:W3CDTF">2014-04-15T18:51:25Z</dcterms:modified>
</cp:coreProperties>
</file>